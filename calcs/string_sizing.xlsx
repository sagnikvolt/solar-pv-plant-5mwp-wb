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ing 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9" authorId="0">
      <text>
        <r>
          <rPr>
            <sz val="10"/>
            <rFont val="Arial"/>
            <family val="2"/>
          </rPr>
          <t xml:space="preserve">Leave blank to use the maximum string length allowed by the DC voltage limit.</t>
        </r>
      </text>
    </comment>
  </commentList>
</comments>
</file>

<file path=xl/sharedStrings.xml><?xml version="1.0" encoding="utf-8"?>
<sst xmlns="http://schemas.openxmlformats.org/spreadsheetml/2006/main" count="120" uniqueCount="86">
  <si>
    <t xml:space="preserve">String Sizing: 5 MWp PV plant (IEC 62548 checks)</t>
  </si>
  <si>
    <t xml:space="preserve">Legend: fill the YELLOW cells in column C (blue = input). Column D is a worked example with generic values, not a real product. Formulas are in black. Record sources in ASSUMPTIONS.md.</t>
  </si>
  <si>
    <t xml:space="preserve">Parameter</t>
  </si>
  <si>
    <t xml:space="preserve">Unit</t>
  </si>
  <si>
    <t xml:space="preserve">My design</t>
  </si>
  <si>
    <t xml:space="preserve">Example (generic)</t>
  </si>
  <si>
    <t xml:space="preserve">Source / note</t>
  </si>
  <si>
    <t xml:space="preserve">Module model</t>
  </si>
  <si>
    <t xml:space="preserve">Generic 550 Wp mono PERC (example)</t>
  </si>
  <si>
    <t xml:space="preserve">Datasheet</t>
  </si>
  <si>
    <t xml:space="preserve">Pmax (STC)</t>
  </si>
  <si>
    <t xml:space="preserve">W</t>
  </si>
  <si>
    <t xml:space="preserve">Voc (STC)</t>
  </si>
  <si>
    <t xml:space="preserve">V</t>
  </si>
  <si>
    <t xml:space="preserve">Vmp (STC)</t>
  </si>
  <si>
    <t xml:space="preserve">Isc (STC)</t>
  </si>
  <si>
    <t xml:space="preserve">A</t>
  </si>
  <si>
    <t xml:space="preserve">β Voc</t>
  </si>
  <si>
    <t xml:space="preserve">%/°C</t>
  </si>
  <si>
    <t xml:space="preserve">Datasheet (negative)</t>
  </si>
  <si>
    <t xml:space="preserve">β Vmp (or γ Pmax if not given)</t>
  </si>
  <si>
    <t xml:space="preserve">Datasheet; γ Pmax is a common approximation</t>
  </si>
  <si>
    <t xml:space="preserve">α Isc</t>
  </si>
  <si>
    <t xml:space="preserve">Datasheet (positive)</t>
  </si>
  <si>
    <t xml:space="preserve">NOCT / NMOT</t>
  </si>
  <si>
    <t xml:space="preserve">°C</t>
  </si>
  <si>
    <t xml:space="preserve">INVERTER</t>
  </si>
  <si>
    <t xml:space="preserve">Inverter model</t>
  </si>
  <si>
    <t xml:space="preserve">Generic 1500 V, 250 kW string inverter (example)</t>
  </si>
  <si>
    <t xml:space="preserve">Rated AC power</t>
  </si>
  <si>
    <t xml:space="preserve">kW</t>
  </si>
  <si>
    <t xml:space="preserve">Max DC input voltage</t>
  </si>
  <si>
    <t xml:space="preserve">Datasheet: hard limit</t>
  </si>
  <si>
    <t xml:space="preserve">MPPT min voltage</t>
  </si>
  <si>
    <t xml:space="preserve">MPPT max voltage</t>
  </si>
  <si>
    <t xml:space="preserve">Number of MPPTs</t>
  </si>
  <si>
    <t xml:space="preserve">Max short-circuit current per MPPT</t>
  </si>
  <si>
    <t xml:space="preserve">SITE</t>
  </si>
  <si>
    <t xml:space="preserve">Site</t>
  </si>
  <si>
    <t xml:space="preserve">Example site, western West Bengal</t>
  </si>
  <si>
    <t xml:space="preserve">Google Earth</t>
  </si>
  <si>
    <t xml:space="preserve">Record minimum ambient temperature</t>
  </si>
  <si>
    <t xml:space="preserve">IMD / NASA POWER</t>
  </si>
  <si>
    <t xml:space="preserve">Design maximum ambient temperature</t>
  </si>
  <si>
    <t xml:space="preserve">DESIGN</t>
  </si>
  <si>
    <t xml:space="preserve">Target DC capacity</t>
  </si>
  <si>
    <t xml:space="preserve">kWp</t>
  </si>
  <si>
    <t xml:space="preserve">Project scope</t>
  </si>
  <si>
    <t xml:space="preserve">Target DC/AC ratio</t>
  </si>
  <si>
    <t xml:space="preserve">Design choice</t>
  </si>
  <si>
    <t xml:space="preserve">Bifacial rear gain on Isc</t>
  </si>
  <si>
    <t xml:space="preserve">fraction</t>
  </si>
  <si>
    <t xml:space="preserve">0 for monofacial</t>
  </si>
  <si>
    <t xml:space="preserve">Chosen modules per string (blank = max allowed)</t>
  </si>
  <si>
    <t xml:space="preserve">Optional override</t>
  </si>
  <si>
    <t xml:space="preserve">RESULTS</t>
  </si>
  <si>
    <t xml:space="preserve">Min cell temperature</t>
  </si>
  <si>
    <t xml:space="preserve">Max cell temperature (NOCT, 1000 W/m²)</t>
  </si>
  <si>
    <t xml:space="preserve">Voc at min temperature</t>
  </si>
  <si>
    <t xml:space="preserve">Vmp at max temperature</t>
  </si>
  <si>
    <t xml:space="preserve">Vmp at min temperature</t>
  </si>
  <si>
    <t xml:space="preserve">Isc at max temperature × bifacial gain</t>
  </si>
  <si>
    <t xml:space="preserve">1.25 × Isc (cable/fuse basis)</t>
  </si>
  <si>
    <t xml:space="preserve">Max modules/string (DC voltage limit)</t>
  </si>
  <si>
    <t xml:space="preserve">Min modules/string (MPPT min, hot)</t>
  </si>
  <si>
    <t xml:space="preserve">Max modules/string before MPPT max (cold)</t>
  </si>
  <si>
    <t xml:space="preserve">Chosen modules/string</t>
  </si>
  <si>
    <t xml:space="preserve">String Voc at min temperature</t>
  </si>
  <si>
    <t xml:space="preserve">String Vmp at max temperature</t>
  </si>
  <si>
    <t xml:space="preserve">String Vmp at min temperature</t>
  </si>
  <si>
    <t xml:space="preserve">Max strings per MPPT</t>
  </si>
  <si>
    <t xml:space="preserve">Max strings per inverter</t>
  </si>
  <si>
    <t xml:space="preserve">String power</t>
  </si>
  <si>
    <t xml:space="preserve">Number of strings</t>
  </si>
  <si>
    <t xml:space="preserve">Number of modules</t>
  </si>
  <si>
    <t xml:space="preserve">Actual DC capacity</t>
  </si>
  <si>
    <t xml:space="preserve">Number of inverters</t>
  </si>
  <si>
    <t xml:space="preserve">Total AC capacity</t>
  </si>
  <si>
    <t xml:space="preserve">Actual DC/AC ratio</t>
  </si>
  <si>
    <t xml:space="preserve">Strings per inverter</t>
  </si>
  <si>
    <t xml:space="preserve">CHECKS</t>
  </si>
  <si>
    <t xml:space="preserve">String Voc(min T) ≤ max DC voltage</t>
  </si>
  <si>
    <t xml:space="preserve">String Vmp(max T) ≥ MPPT min</t>
  </si>
  <si>
    <t xml:space="preserve">String Vmp(min T) ≤ MPPT max</t>
  </si>
  <si>
    <t xml:space="preserve">Strings/inverter ≤ MPPT current limit</t>
  </si>
  <si>
    <t xml:space="preserve">Min ≤ chosen ≤ max modules/string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</si>
</sst>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0"/>
    <numFmt numFmtId="168" formatCode="#,##0.0"/>
    <numFmt numFmtId="169" formatCode="#,##0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s">
        <v>7</v>
      </c>
      <c r="B4" s="4"/>
      <c r="C4" s="5"/>
      <c r="D4" s="6" t="s">
        <v>8</v>
      </c>
      <c r="E4" s="7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/>
      <c r="D5" s="6" t="n">
        <v>550</v>
      </c>
      <c r="E5" s="7" t="s">
        <v>9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/>
      <c r="D6" s="6" t="n">
        <v>49.8</v>
      </c>
      <c r="E6" s="7" t="s">
        <v>9</v>
      </c>
    </row>
    <row r="7" customFormat="false" ht="15" hidden="false" customHeight="false" outlineLevel="0" collapsed="false">
      <c r="A7" s="4" t="s">
        <v>14</v>
      </c>
      <c r="B7" s="4" t="s">
        <v>13</v>
      </c>
      <c r="C7" s="5"/>
      <c r="D7" s="6" t="n">
        <v>41.9</v>
      </c>
      <c r="E7" s="7" t="s">
        <v>9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/>
      <c r="D8" s="6" t="n">
        <v>14</v>
      </c>
      <c r="E8" s="7" t="s">
        <v>9</v>
      </c>
    </row>
    <row r="9" customFormat="false" ht="15" hidden="false" customHeight="false" outlineLevel="0" collapsed="false">
      <c r="A9" s="4" t="s">
        <v>17</v>
      </c>
      <c r="B9" s="4" t="s">
        <v>18</v>
      </c>
      <c r="C9" s="5"/>
      <c r="D9" s="6" t="n">
        <v>-0.27</v>
      </c>
      <c r="E9" s="7" t="s">
        <v>19</v>
      </c>
    </row>
    <row r="10" customFormat="false" ht="15" hidden="false" customHeight="false" outlineLevel="0" collapsed="false">
      <c r="A10" s="4" t="s">
        <v>20</v>
      </c>
      <c r="B10" s="4" t="s">
        <v>18</v>
      </c>
      <c r="C10" s="5"/>
      <c r="D10" s="6" t="n">
        <v>-0.35</v>
      </c>
      <c r="E10" s="7" t="s">
        <v>21</v>
      </c>
    </row>
    <row r="11" customFormat="false" ht="15" hidden="false" customHeight="false" outlineLevel="0" collapsed="false">
      <c r="A11" s="4" t="s">
        <v>22</v>
      </c>
      <c r="B11" s="4" t="s">
        <v>18</v>
      </c>
      <c r="C11" s="5"/>
      <c r="D11" s="6" t="n">
        <v>0.048</v>
      </c>
      <c r="E11" s="7" t="s">
        <v>23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5"/>
      <c r="D12" s="6" t="n">
        <v>45</v>
      </c>
      <c r="E12" s="7" t="s">
        <v>9</v>
      </c>
    </row>
    <row r="13" customFormat="false" ht="15" hidden="false" customHeight="false" outlineLevel="0" collapsed="false">
      <c r="A13" s="8" t="s">
        <v>26</v>
      </c>
    </row>
    <row r="14" customFormat="false" ht="15" hidden="false" customHeight="false" outlineLevel="0" collapsed="false">
      <c r="A14" s="4" t="s">
        <v>27</v>
      </c>
      <c r="B14" s="4"/>
      <c r="C14" s="5"/>
      <c r="D14" s="6" t="s">
        <v>28</v>
      </c>
      <c r="E14" s="7" t="s">
        <v>9</v>
      </c>
    </row>
    <row r="15" customFormat="false" ht="15" hidden="false" customHeight="false" outlineLevel="0" collapsed="false">
      <c r="A15" s="4" t="s">
        <v>29</v>
      </c>
      <c r="B15" s="4" t="s">
        <v>30</v>
      </c>
      <c r="C15" s="5"/>
      <c r="D15" s="6" t="n">
        <v>250</v>
      </c>
      <c r="E15" s="7" t="s">
        <v>9</v>
      </c>
    </row>
    <row r="16" customFormat="false" ht="15" hidden="false" customHeight="false" outlineLevel="0" collapsed="false">
      <c r="A16" s="4" t="s">
        <v>31</v>
      </c>
      <c r="B16" s="4" t="s">
        <v>13</v>
      </c>
      <c r="C16" s="5"/>
      <c r="D16" s="6" t="n">
        <v>1500</v>
      </c>
      <c r="E16" s="7" t="s">
        <v>32</v>
      </c>
    </row>
    <row r="17" customFormat="false" ht="15" hidden="false" customHeight="false" outlineLevel="0" collapsed="false">
      <c r="A17" s="4" t="s">
        <v>33</v>
      </c>
      <c r="B17" s="4" t="s">
        <v>13</v>
      </c>
      <c r="C17" s="5"/>
      <c r="D17" s="6" t="n">
        <v>500</v>
      </c>
      <c r="E17" s="7" t="s">
        <v>9</v>
      </c>
    </row>
    <row r="18" customFormat="false" ht="15" hidden="false" customHeight="false" outlineLevel="0" collapsed="false">
      <c r="A18" s="4" t="s">
        <v>34</v>
      </c>
      <c r="B18" s="4" t="s">
        <v>13</v>
      </c>
      <c r="C18" s="5"/>
      <c r="D18" s="6" t="n">
        <v>1500</v>
      </c>
      <c r="E18" s="7" t="s">
        <v>9</v>
      </c>
    </row>
    <row r="19" customFormat="false" ht="15" hidden="false" customHeight="false" outlineLevel="0" collapsed="false">
      <c r="A19" s="4" t="s">
        <v>35</v>
      </c>
      <c r="B19" s="4"/>
      <c r="C19" s="5"/>
      <c r="D19" s="6" t="n">
        <v>12</v>
      </c>
      <c r="E19" s="7" t="s">
        <v>9</v>
      </c>
    </row>
    <row r="20" customFormat="false" ht="15" hidden="false" customHeight="false" outlineLevel="0" collapsed="false">
      <c r="A20" s="4" t="s">
        <v>36</v>
      </c>
      <c r="B20" s="4" t="s">
        <v>16</v>
      </c>
      <c r="C20" s="5"/>
      <c r="D20" s="6" t="n">
        <v>50</v>
      </c>
      <c r="E20" s="7" t="s">
        <v>9</v>
      </c>
    </row>
    <row r="21" customFormat="false" ht="15" hidden="false" customHeight="false" outlineLevel="0" collapsed="false">
      <c r="A21" s="8" t="s">
        <v>37</v>
      </c>
    </row>
    <row r="22" customFormat="false" ht="15" hidden="false" customHeight="false" outlineLevel="0" collapsed="false">
      <c r="A22" s="4" t="s">
        <v>38</v>
      </c>
      <c r="B22" s="4"/>
      <c r="C22" s="5"/>
      <c r="D22" s="6" t="s">
        <v>39</v>
      </c>
      <c r="E22" s="7" t="s">
        <v>40</v>
      </c>
    </row>
    <row r="23" customFormat="false" ht="15" hidden="false" customHeight="false" outlineLevel="0" collapsed="false">
      <c r="A23" s="4" t="s">
        <v>41</v>
      </c>
      <c r="B23" s="4" t="s">
        <v>25</v>
      </c>
      <c r="C23" s="5"/>
      <c r="D23" s="6" t="n">
        <v>3</v>
      </c>
      <c r="E23" s="7" t="s">
        <v>42</v>
      </c>
    </row>
    <row r="24" customFormat="false" ht="15" hidden="false" customHeight="false" outlineLevel="0" collapsed="false">
      <c r="A24" s="4" t="s">
        <v>43</v>
      </c>
      <c r="B24" s="4" t="s">
        <v>25</v>
      </c>
      <c r="C24" s="5"/>
      <c r="D24" s="6" t="n">
        <v>45</v>
      </c>
      <c r="E24" s="7" t="s">
        <v>42</v>
      </c>
    </row>
    <row r="25" customFormat="false" ht="15" hidden="false" customHeight="false" outlineLevel="0" collapsed="false">
      <c r="A25" s="8" t="s">
        <v>44</v>
      </c>
    </row>
    <row r="26" customFormat="false" ht="15" hidden="false" customHeight="false" outlineLevel="0" collapsed="false">
      <c r="A26" s="4" t="s">
        <v>45</v>
      </c>
      <c r="B26" s="4" t="s">
        <v>46</v>
      </c>
      <c r="C26" s="5" t="n">
        <v>5000</v>
      </c>
      <c r="D26" s="6" t="n">
        <v>5000</v>
      </c>
      <c r="E26" s="7" t="s">
        <v>47</v>
      </c>
    </row>
    <row r="27" customFormat="false" ht="15" hidden="false" customHeight="false" outlineLevel="0" collapsed="false">
      <c r="A27" s="4" t="s">
        <v>48</v>
      </c>
      <c r="B27" s="4"/>
      <c r="C27" s="5" t="n">
        <v>1.25</v>
      </c>
      <c r="D27" s="6" t="n">
        <v>1.25</v>
      </c>
      <c r="E27" s="7" t="s">
        <v>49</v>
      </c>
    </row>
    <row r="28" customFormat="false" ht="15" hidden="false" customHeight="false" outlineLevel="0" collapsed="false">
      <c r="A28" s="4" t="s">
        <v>50</v>
      </c>
      <c r="B28" s="4" t="s">
        <v>51</v>
      </c>
      <c r="C28" s="5" t="n">
        <v>0</v>
      </c>
      <c r="D28" s="6" t="n">
        <v>0</v>
      </c>
      <c r="E28" s="7" t="s">
        <v>52</v>
      </c>
    </row>
    <row r="29" customFormat="false" ht="15" hidden="false" customHeight="false" outlineLevel="0" collapsed="false">
      <c r="A29" s="4" t="s">
        <v>53</v>
      </c>
      <c r="B29" s="4"/>
      <c r="C29" s="5"/>
      <c r="D29" s="6"/>
      <c r="E29" s="7" t="s">
        <v>54</v>
      </c>
    </row>
    <row r="31" customFormat="false" ht="15" hidden="false" customHeight="false" outlineLevel="0" collapsed="false">
      <c r="A31" s="8" t="s">
        <v>55</v>
      </c>
    </row>
    <row r="32" customFormat="false" ht="15" hidden="false" customHeight="false" outlineLevel="0" collapsed="false">
      <c r="A32" s="4" t="s">
        <v>56</v>
      </c>
      <c r="B32" s="4" t="s">
        <v>25</v>
      </c>
      <c r="C32" s="9" t="n">
        <f aca="false">IFERROR(C23,"")</f>
        <v>0</v>
      </c>
      <c r="D32" s="9" t="n">
        <f aca="false">IFERROR(D23,"")</f>
        <v>3</v>
      </c>
    </row>
    <row r="33" customFormat="false" ht="15" hidden="false" customHeight="false" outlineLevel="0" collapsed="false">
      <c r="A33" s="4" t="s">
        <v>57</v>
      </c>
      <c r="B33" s="4" t="s">
        <v>25</v>
      </c>
      <c r="C33" s="9" t="n">
        <f aca="false">IFERROR(C24+(C12-20)/800*1000,"")</f>
        <v>-25</v>
      </c>
      <c r="D33" s="9" t="n">
        <f aca="false">IFERROR(D24+(D12-20)/800*1000,"")</f>
        <v>76.25</v>
      </c>
    </row>
    <row r="34" customFormat="false" ht="15" hidden="false" customHeight="false" outlineLevel="0" collapsed="false">
      <c r="A34" s="4" t="s">
        <v>58</v>
      </c>
      <c r="B34" s="4" t="s">
        <v>13</v>
      </c>
      <c r="C34" s="10" t="n">
        <f aca="false">IFERROR(C6*(1+C9/100*(C32-25)),"")</f>
        <v>0</v>
      </c>
      <c r="D34" s="10" t="n">
        <f aca="false">IFERROR(D6*(1+D9/100*(D32-25)),"")</f>
        <v>52.75812</v>
      </c>
    </row>
    <row r="35" customFormat="false" ht="15" hidden="false" customHeight="false" outlineLevel="0" collapsed="false">
      <c r="A35" s="4" t="s">
        <v>59</v>
      </c>
      <c r="B35" s="4" t="s">
        <v>13</v>
      </c>
      <c r="C35" s="10" t="n">
        <f aca="false">IFERROR(C7*(1+C10/100*(C33-25)),"")</f>
        <v>0</v>
      </c>
      <c r="D35" s="10" t="n">
        <f aca="false">IFERROR(D7*(1+D10/100*(D33-25)),"")</f>
        <v>34.3841875</v>
      </c>
    </row>
    <row r="36" customFormat="false" ht="15" hidden="false" customHeight="false" outlineLevel="0" collapsed="false">
      <c r="A36" s="4" t="s">
        <v>60</v>
      </c>
      <c r="B36" s="4" t="s">
        <v>13</v>
      </c>
      <c r="C36" s="10" t="n">
        <f aca="false">IFERROR(C7*(1+C10/100*(C32-25)),"")</f>
        <v>0</v>
      </c>
      <c r="D36" s="10" t="n">
        <f aca="false">IFERROR(D7*(1+D10/100*(D32-25)),"")</f>
        <v>45.1263</v>
      </c>
    </row>
    <row r="37" customFormat="false" ht="15" hidden="false" customHeight="false" outlineLevel="0" collapsed="false">
      <c r="A37" s="4" t="s">
        <v>61</v>
      </c>
      <c r="B37" s="4" t="s">
        <v>16</v>
      </c>
      <c r="C37" s="10" t="n">
        <f aca="false">IFERROR(C8*(1+C11/100*(C33-25))*(1+C28),"")</f>
        <v>0</v>
      </c>
      <c r="D37" s="10" t="n">
        <f aca="false">IFERROR(D8*(1+D11/100*(D33-25))*(1+D28),"")</f>
        <v>14.3444</v>
      </c>
    </row>
    <row r="38" customFormat="false" ht="15" hidden="false" customHeight="false" outlineLevel="0" collapsed="false">
      <c r="A38" s="4" t="s">
        <v>62</v>
      </c>
      <c r="B38" s="4" t="s">
        <v>16</v>
      </c>
      <c r="C38" s="10" t="n">
        <f aca="false">IFERROR(C37*1.25,"")</f>
        <v>0</v>
      </c>
      <c r="D38" s="10" t="n">
        <f aca="false">IFERROR(D37*1.25,"")</f>
        <v>17.9305</v>
      </c>
    </row>
    <row r="39" customFormat="false" ht="15" hidden="false" customHeight="false" outlineLevel="0" collapsed="false">
      <c r="A39" s="4" t="s">
        <v>63</v>
      </c>
      <c r="B39" s="4"/>
      <c r="C39" s="4" t="str">
        <f aca="false">IFERROR(INT(C16/C34),"")</f>
        <v/>
      </c>
      <c r="D39" s="4" t="n">
        <f aca="false">IFERROR(INT(D16/D34),"")</f>
        <v>28</v>
      </c>
    </row>
    <row r="40" customFormat="false" ht="15" hidden="false" customHeight="false" outlineLevel="0" collapsed="false">
      <c r="A40" s="4" t="s">
        <v>64</v>
      </c>
      <c r="B40" s="4"/>
      <c r="C40" s="4" t="str">
        <f aca="false">IFERROR(ROUNDUP(C17/C35,0),"")</f>
        <v/>
      </c>
      <c r="D40" s="4" t="n">
        <f aca="false">IFERROR(ROUNDUP(D17/D35,0),"")</f>
        <v>15</v>
      </c>
    </row>
    <row r="41" customFormat="false" ht="15" hidden="false" customHeight="false" outlineLevel="0" collapsed="false">
      <c r="A41" s="4" t="s">
        <v>65</v>
      </c>
      <c r="B41" s="4"/>
      <c r="C41" s="4" t="str">
        <f aca="false">IFERROR(INT(C18/C36),"")</f>
        <v/>
      </c>
      <c r="D41" s="4" t="n">
        <f aca="false">IFERROR(INT(D18/D36),"")</f>
        <v>33</v>
      </c>
    </row>
    <row r="42" customFormat="false" ht="15" hidden="false" customHeight="false" outlineLevel="0" collapsed="false">
      <c r="A42" s="4" t="s">
        <v>66</v>
      </c>
      <c r="B42" s="4"/>
      <c r="C42" s="4" t="str">
        <f aca="false">IFERROR(IF(ISBLANK(C29),C39,C29),"")</f>
        <v/>
      </c>
      <c r="D42" s="4" t="n">
        <f aca="false">IFERROR(IF(ISBLANK(D29),D39,D29),"")</f>
        <v>28</v>
      </c>
    </row>
    <row r="43" customFormat="false" ht="15" hidden="false" customHeight="false" outlineLevel="0" collapsed="false">
      <c r="A43" s="4" t="s">
        <v>67</v>
      </c>
      <c r="B43" s="4" t="s">
        <v>13</v>
      </c>
      <c r="C43" s="11" t="str">
        <f aca="false">IFERROR(C42*C34,"")</f>
        <v/>
      </c>
      <c r="D43" s="11" t="n">
        <f aca="false">IFERROR(D42*D34,"")</f>
        <v>1477.22736</v>
      </c>
    </row>
    <row r="44" customFormat="false" ht="15" hidden="false" customHeight="false" outlineLevel="0" collapsed="false">
      <c r="A44" s="4" t="s">
        <v>68</v>
      </c>
      <c r="B44" s="4" t="s">
        <v>13</v>
      </c>
      <c r="C44" s="11" t="str">
        <f aca="false">IFERROR(C42*C35,"")</f>
        <v/>
      </c>
      <c r="D44" s="11" t="n">
        <f aca="false">IFERROR(D42*D35,"")</f>
        <v>962.75725</v>
      </c>
    </row>
    <row r="45" customFormat="false" ht="15" hidden="false" customHeight="false" outlineLevel="0" collapsed="false">
      <c r="A45" s="4" t="s">
        <v>69</v>
      </c>
      <c r="B45" s="4" t="s">
        <v>13</v>
      </c>
      <c r="C45" s="11" t="str">
        <f aca="false">IFERROR(C42*C36,"")</f>
        <v/>
      </c>
      <c r="D45" s="11" t="n">
        <f aca="false">IFERROR(D42*D36,"")</f>
        <v>1263.5364</v>
      </c>
    </row>
    <row r="46" customFormat="false" ht="15" hidden="false" customHeight="false" outlineLevel="0" collapsed="false">
      <c r="A46" s="4" t="s">
        <v>70</v>
      </c>
      <c r="B46" s="4"/>
      <c r="C46" s="4" t="str">
        <f aca="false">IFERROR(INT(C20/C37),"")</f>
        <v/>
      </c>
      <c r="D46" s="4" t="n">
        <f aca="false">IFERROR(INT(D20/D37),"")</f>
        <v>3</v>
      </c>
    </row>
    <row r="47" customFormat="false" ht="15" hidden="false" customHeight="false" outlineLevel="0" collapsed="false">
      <c r="A47" s="4" t="s">
        <v>71</v>
      </c>
      <c r="B47" s="4"/>
      <c r="C47" s="4" t="str">
        <f aca="false">IFERROR(C46*C19,"")</f>
        <v/>
      </c>
      <c r="D47" s="4" t="n">
        <f aca="false">IFERROR(D46*D19,"")</f>
        <v>36</v>
      </c>
    </row>
    <row r="48" customFormat="false" ht="15" hidden="false" customHeight="false" outlineLevel="0" collapsed="false">
      <c r="A48" s="4" t="s">
        <v>72</v>
      </c>
      <c r="B48" s="4" t="s">
        <v>46</v>
      </c>
      <c r="C48" s="10" t="str">
        <f aca="false">IFERROR(C42*C5/1000,"")</f>
        <v/>
      </c>
      <c r="D48" s="10" t="n">
        <f aca="false">IFERROR(D42*D5/1000,"")</f>
        <v>15.4</v>
      </c>
    </row>
    <row r="49" customFormat="false" ht="15" hidden="false" customHeight="false" outlineLevel="0" collapsed="false">
      <c r="A49" s="4" t="s">
        <v>73</v>
      </c>
      <c r="B49" s="4"/>
      <c r="C49" s="4" t="str">
        <f aca="false">IFERROR(ROUND(C26/C48,0),"")</f>
        <v/>
      </c>
      <c r="D49" s="4" t="n">
        <f aca="false">IFERROR(ROUND(D26/D48,0),"")</f>
        <v>325</v>
      </c>
    </row>
    <row r="50" customFormat="false" ht="15" hidden="false" customHeight="false" outlineLevel="0" collapsed="false">
      <c r="A50" s="4" t="s">
        <v>74</v>
      </c>
      <c r="B50" s="4"/>
      <c r="C50" s="4" t="str">
        <f aca="false">IFERROR(C49*C42,"")</f>
        <v/>
      </c>
      <c r="D50" s="4" t="n">
        <f aca="false">IFERROR(D49*D42,"")</f>
        <v>9100</v>
      </c>
    </row>
    <row r="51" customFormat="false" ht="15" hidden="false" customHeight="false" outlineLevel="0" collapsed="false">
      <c r="A51" s="4" t="s">
        <v>75</v>
      </c>
      <c r="B51" s="4" t="s">
        <v>46</v>
      </c>
      <c r="C51" s="12" t="str">
        <f aca="false">IFERROR(C49*C48,"")</f>
        <v/>
      </c>
      <c r="D51" s="12" t="n">
        <f aca="false">IFERROR(D49*D48,"")</f>
        <v>5005</v>
      </c>
    </row>
    <row r="52" customFormat="false" ht="15" hidden="false" customHeight="false" outlineLevel="0" collapsed="false">
      <c r="A52" s="4" t="s">
        <v>76</v>
      </c>
      <c r="B52" s="4"/>
      <c r="C52" s="4" t="str">
        <f aca="false">IFERROR(MAX(1,ROUND(C51/(C15*C27),0)),"")</f>
        <v/>
      </c>
      <c r="D52" s="4" t="n">
        <f aca="false">IFERROR(MAX(1,ROUND(D51/(D15*D27),0)),"")</f>
        <v>16</v>
      </c>
    </row>
    <row r="53" customFormat="false" ht="15" hidden="false" customHeight="false" outlineLevel="0" collapsed="false">
      <c r="A53" s="4" t="s">
        <v>77</v>
      </c>
      <c r="B53" s="4" t="s">
        <v>30</v>
      </c>
      <c r="C53" s="13" t="str">
        <f aca="false">IFERROR(C52*C15,"")</f>
        <v/>
      </c>
      <c r="D53" s="13" t="n">
        <f aca="false">IFERROR(D52*D15,"")</f>
        <v>4000</v>
      </c>
    </row>
    <row r="54" customFormat="false" ht="15" hidden="false" customHeight="false" outlineLevel="0" collapsed="false">
      <c r="A54" s="4" t="s">
        <v>78</v>
      </c>
      <c r="B54" s="4"/>
      <c r="C54" s="14" t="str">
        <f aca="false">IFERROR(C51/C53,"")</f>
        <v/>
      </c>
      <c r="D54" s="14" t="n">
        <f aca="false">IFERROR(D51/D53,"")</f>
        <v>1.25125</v>
      </c>
    </row>
    <row r="55" customFormat="false" ht="15" hidden="false" customHeight="false" outlineLevel="0" collapsed="false">
      <c r="A55" s="4" t="s">
        <v>79</v>
      </c>
      <c r="B55" s="4"/>
      <c r="C55" s="4" t="str">
        <f aca="false">IFERROR(ROUNDUP(C49/C52,0),"")</f>
        <v/>
      </c>
      <c r="D55" s="4" t="n">
        <f aca="false">IFERROR(ROUNDUP(D49/D52,0),"")</f>
        <v>21</v>
      </c>
    </row>
    <row r="57" customFormat="false" ht="15" hidden="false" customHeight="false" outlineLevel="0" collapsed="false">
      <c r="A57" s="8" t="s">
        <v>80</v>
      </c>
    </row>
    <row r="58" customFormat="false" ht="15" hidden="false" customHeight="false" outlineLevel="0" collapsed="false">
      <c r="A58" s="4" t="s">
        <v>81</v>
      </c>
      <c r="C58" s="8" t="str">
        <f aca="false">IF(C42="","",IF(C43&lt;=C16,"PASS","FAIL"))</f>
        <v/>
      </c>
      <c r="D58" s="8" t="str">
        <f aca="false">IF(D42="","",IF(D43&lt;=D16,"PASS","FAIL"))</f>
        <v>PASS</v>
      </c>
    </row>
    <row r="59" customFormat="false" ht="15" hidden="false" customHeight="false" outlineLevel="0" collapsed="false">
      <c r="A59" s="4" t="s">
        <v>82</v>
      </c>
      <c r="C59" s="8" t="str">
        <f aca="false">IF(C42="","",IF(C44&gt;=C17,"PASS","FAIL"))</f>
        <v/>
      </c>
      <c r="D59" s="8" t="str">
        <f aca="false">IF(D42="","",IF(D44&gt;=D17,"PASS","FAIL"))</f>
        <v>PASS</v>
      </c>
    </row>
    <row r="60" customFormat="false" ht="15" hidden="false" customHeight="false" outlineLevel="0" collapsed="false">
      <c r="A60" s="4" t="s">
        <v>83</v>
      </c>
      <c r="C60" s="8" t="str">
        <f aca="false">IF(C42="","",IF(C45&lt;=C18,"PASS","FAIL"))</f>
        <v/>
      </c>
      <c r="D60" s="8" t="str">
        <f aca="false">IF(D42="","",IF(D45&lt;=D18,"PASS","FAIL"))</f>
        <v>PASS</v>
      </c>
    </row>
    <row r="61" customFormat="false" ht="15" hidden="false" customHeight="false" outlineLevel="0" collapsed="false">
      <c r="A61" s="4" t="s">
        <v>84</v>
      </c>
      <c r="C61" s="8" t="str">
        <f aca="false">IF(C42="","",IF(C55&lt;=C47,"PASS","FAIL"))</f>
        <v/>
      </c>
      <c r="D61" s="8" t="str">
        <f aca="false">IF(D42="","",IF(D55&lt;=D47,"PASS","FAIL"))</f>
        <v>PASS</v>
      </c>
    </row>
    <row r="62" customFormat="false" ht="15" hidden="false" customHeight="false" outlineLevel="0" collapsed="false">
      <c r="A62" s="4" t="s">
        <v>85</v>
      </c>
      <c r="C62" s="8" t="str">
        <f aca="false">IF(C42="","",IF(AND(C42&gt;=C40,C42&lt;=C39),"PASS","FAIL"))</f>
        <v/>
      </c>
      <c r="D62" s="8" t="str">
        <f aca="false">IF(D42="","",IF(AND(D42&gt;=D40,D42&lt;=D39),"PASS","FAIL"))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2026-10-28T06:27:45Z</dcterms:created>
  <dc:creator>openpyxl</dc:creator>
  <dc:description/>
  <dc:language>en-US</dc:language>
  <cp:lastModifiedBy/>
  <dcterms:modified xsi:type="dcterms:W3CDTF">2026-10-28T06:27:45Z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